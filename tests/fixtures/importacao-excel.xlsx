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514914\Downloads\Claude\Teste 1 - Projeto Site RT\tests\fixtures\"/>
    </mc:Choice>
  </mc:AlternateContent>
  <xr:revisionPtr revIDLastSave="0" documentId="8_{BAD87932-CD0C-4F7F-9BBF-B7F455AEC1C5}" xr6:coauthVersionLast="47" xr6:coauthVersionMax="47" xr10:uidLastSave="{00000000-0000-0000-0000-000000000000}"/>
  <bookViews>
    <workbookView xWindow="28680" yWindow="-120" windowWidth="20730" windowHeight="11040" activeTab="1" xr2:uid="{C3CF23B4-4D68-442B-819F-0747D6061A0A}"/>
  </bookViews>
  <sheets>
    <sheet name="Ações" sheetId="1" r:id="rId1"/>
    <sheet name="Parece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2" i="2"/>
  <c r="H7" i="1"/>
  <c r="H6" i="1"/>
  <c r="H3" i="1"/>
  <c r="H2" i="1"/>
  <c r="G2" i="1"/>
</calcChain>
</file>

<file path=xl/sharedStrings.xml><?xml version="1.0" encoding="utf-8"?>
<sst xmlns="http://schemas.openxmlformats.org/spreadsheetml/2006/main" count="80" uniqueCount="65">
  <si>
    <t>Código</t>
  </si>
  <si>
    <t>Nome *</t>
  </si>
  <si>
    <t>Descrição</t>
  </si>
  <si>
    <t>Frente de trabalho *</t>
  </si>
  <si>
    <t>Área responsável *</t>
  </si>
  <si>
    <t>Responsável pela execução *</t>
  </si>
  <si>
    <t>Data de início</t>
  </si>
  <si>
    <t>Prazo previsto *</t>
  </si>
  <si>
    <t>Status *</t>
  </si>
  <si>
    <t>Prioridade *</t>
  </si>
  <si>
    <t>Percentual de conclusão</t>
  </si>
  <si>
    <t>Depende de</t>
  </si>
  <si>
    <t>Riscos e impedimentos</t>
  </si>
  <si>
    <t>Pareceres e evidências relacionados</t>
  </si>
  <si>
    <t>Resultado esperado</t>
  </si>
  <si>
    <t>Data de conclusão efetiva</t>
  </si>
  <si>
    <t>AT-900</t>
  </si>
  <si>
    <t>Mapear CFOP para IBS e CBS</t>
  </si>
  <si>
    <t>Levantamento por operação</t>
  </si>
  <si>
    <t>Fiscal e tributária</t>
  </si>
  <si>
    <t>Rafael Lima</t>
  </si>
  <si>
    <t>Em andamento</t>
  </si>
  <si>
    <t>Alta</t>
  </si>
  <si>
    <t>PT-014</t>
  </si>
  <si>
    <t>Revisar contratos de energia</t>
  </si>
  <si>
    <t>Contratos</t>
  </si>
  <si>
    <t>Camila Rocha</t>
  </si>
  <si>
    <t>15/11/2026</t>
  </si>
  <si>
    <t>em andamento</t>
  </si>
  <si>
    <t>Média</t>
  </si>
  <si>
    <t>Ação com erros</t>
  </si>
  <si>
    <t>Fiscal</t>
  </si>
  <si>
    <t>Fulano de Tal</t>
  </si>
  <si>
    <t>31/02/2026</t>
  </si>
  <si>
    <t>AT-999</t>
  </si>
  <si>
    <t>AT-901</t>
  </si>
  <si>
    <t>Ação circular</t>
  </si>
  <si>
    <t>Contábil</t>
  </si>
  <si>
    <t>André Souza</t>
  </si>
  <si>
    <t>Não iniciada</t>
  </si>
  <si>
    <t>Urgente</t>
  </si>
  <si>
    <t>Concluir parametrização</t>
  </si>
  <si>
    <t>Sistemas e tecnologia</t>
  </si>
  <si>
    <t>Bruno Teixeira</t>
  </si>
  <si>
    <t>Concluída</t>
  </si>
  <si>
    <t>Título *</t>
  </si>
  <si>
    <t>Tipo *</t>
  </si>
  <si>
    <t>Categoria *</t>
  </si>
  <si>
    <t>Consultoria ou origem *</t>
  </si>
  <si>
    <t>Data de recebimento *</t>
  </si>
  <si>
    <t>Descrição e objetivo *</t>
  </si>
  <si>
    <t>Status da análise *</t>
  </si>
  <si>
    <t>Unidades impactadas</t>
  </si>
  <si>
    <t>Créditos de IBS na compra de energia para revenda</t>
  </si>
  <si>
    <t>Parecer</t>
  </si>
  <si>
    <t>Créditos de IBS e CBS</t>
  </si>
  <si>
    <t>Consultoria Gama</t>
  </si>
  <si>
    <t>Avaliar o crédito na revenda.</t>
  </si>
  <si>
    <t>Recebido</t>
  </si>
  <si>
    <t>Distribuição; Transmissão</t>
  </si>
  <si>
    <t>Parecer que já viria aprovado</t>
  </si>
  <si>
    <t>Incidência tributária</t>
  </si>
  <si>
    <t>Teste.</t>
  </si>
  <si>
    <t>Aprovado internamente</t>
  </si>
  <si>
    <t>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</si>
</sst>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\y\y\y\y"/>
    <numFmt numFmtId="165" formatCode="d/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quotePrefix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F519-97B9-4B5F-B2B0-5096AE487E2A}">
  <dimension ref="A1:P7"/>
  <sheetViews>
    <sheetView workbookViewId="0"/>
  </sheetViews>
  <sheetFormatPr defaultRowHeight="14.5" x14ac:dyDescent="0.35"/>
  <cols>
    <col min="7" max="8" width="9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s="1">
        <f>DATE(2026,11,1)</f>
        <v>46327</v>
      </c>
      <c r="H2" s="1">
        <f>DATE(2026,11,30)</f>
        <v>46356</v>
      </c>
      <c r="I2" t="s">
        <v>21</v>
      </c>
      <c r="J2" t="s">
        <v>22</v>
      </c>
      <c r="K2" s="2">
        <v>0.6</v>
      </c>
      <c r="N2" t="s">
        <v>23</v>
      </c>
    </row>
    <row r="3" spans="1:16" x14ac:dyDescent="0.35">
      <c r="B3" t="s">
        <v>24</v>
      </c>
      <c r="D3" t="s">
        <v>25</v>
      </c>
      <c r="E3" t="s">
        <v>25</v>
      </c>
      <c r="F3" t="s">
        <v>26</v>
      </c>
      <c r="G3" s="3" t="s">
        <v>27</v>
      </c>
      <c r="H3" s="4">
        <f>DATE(2026,12,20)</f>
        <v>46376</v>
      </c>
      <c r="I3" t="s">
        <v>28</v>
      </c>
      <c r="J3" t="s">
        <v>29</v>
      </c>
      <c r="K3">
        <v>10</v>
      </c>
      <c r="L3" t="s">
        <v>16</v>
      </c>
    </row>
    <row r="4" spans="1:16" x14ac:dyDescent="0.35">
      <c r="B4" t="s">
        <v>30</v>
      </c>
      <c r="D4" t="s">
        <v>31</v>
      </c>
      <c r="E4" t="s">
        <v>19</v>
      </c>
      <c r="F4" t="s">
        <v>32</v>
      </c>
      <c r="H4" s="3" t="s">
        <v>33</v>
      </c>
      <c r="I4" t="s">
        <v>21</v>
      </c>
      <c r="J4" t="s">
        <v>29</v>
      </c>
      <c r="L4" t="s">
        <v>34</v>
      </c>
    </row>
    <row r="6" spans="1:16" x14ac:dyDescent="0.35">
      <c r="A6" t="s">
        <v>35</v>
      </c>
      <c r="B6" t="s">
        <v>36</v>
      </c>
      <c r="D6" t="s">
        <v>37</v>
      </c>
      <c r="E6" t="s">
        <v>37</v>
      </c>
      <c r="F6" t="s">
        <v>38</v>
      </c>
      <c r="H6" s="1">
        <f>DATE(2026,12,1)</f>
        <v>46357</v>
      </c>
      <c r="I6" t="s">
        <v>39</v>
      </c>
      <c r="J6" t="s">
        <v>40</v>
      </c>
      <c r="L6" t="s">
        <v>35</v>
      </c>
    </row>
    <row r="7" spans="1:16" x14ac:dyDescent="0.35">
      <c r="B7" t="s">
        <v>41</v>
      </c>
      <c r="D7" t="s">
        <v>42</v>
      </c>
      <c r="E7" t="s">
        <v>42</v>
      </c>
      <c r="F7" t="s">
        <v>43</v>
      </c>
      <c r="H7" s="1">
        <f>DATE(2026,10,10)</f>
        <v>46305</v>
      </c>
      <c r="I7" t="s">
        <v>44</v>
      </c>
      <c r="J7" t="s">
        <v>22</v>
      </c>
      <c r="K7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ABFA-3CDB-42A8-AE6A-D1032C41E3FE}">
  <dimension ref="A1:I3"/>
  <sheetViews>
    <sheetView tabSelected="1" workbookViewId="0"/>
  </sheetViews>
  <sheetFormatPr defaultRowHeight="14.5" x14ac:dyDescent="0.35"/>
  <cols>
    <col min="5" max="5" width="9.36328125" bestFit="1" customWidth="1"/>
  </cols>
  <sheetData>
    <row r="1" spans="1:9" x14ac:dyDescent="0.3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4</v>
      </c>
      <c r="H1" t="s">
        <v>51</v>
      </c>
      <c r="I1" t="s">
        <v>52</v>
      </c>
    </row>
    <row r="2" spans="1:9" x14ac:dyDescent="0.35">
      <c r="A2" t="s">
        <v>53</v>
      </c>
      <c r="B2" t="s">
        <v>54</v>
      </c>
      <c r="C2" t="s">
        <v>55</v>
      </c>
      <c r="D2" t="s">
        <v>56</v>
      </c>
      <c r="E2" s="1">
        <f>DATE(2026,10,20)</f>
        <v>46315</v>
      </c>
      <c r="F2" t="s">
        <v>57</v>
      </c>
      <c r="G2" t="s">
        <v>19</v>
      </c>
      <c r="H2" t="s">
        <v>58</v>
      </c>
      <c r="I2" t="s">
        <v>59</v>
      </c>
    </row>
    <row r="3" spans="1:9" x14ac:dyDescent="0.35">
      <c r="A3" t="s">
        <v>60</v>
      </c>
      <c r="B3" t="s">
        <v>54</v>
      </c>
      <c r="C3" t="s">
        <v>61</v>
      </c>
      <c r="D3" t="s">
        <v>56</v>
      </c>
      <c r="E3" s="1">
        <f>DATE(2026,10,20)</f>
        <v>46315</v>
      </c>
      <c r="F3" t="s">
        <v>62</v>
      </c>
      <c r="G3" t="s">
        <v>19</v>
      </c>
      <c r="H3" t="s">
        <v>63</v>
      </c>
      <c r="I3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Ações</vt:lpstr>
      <vt:lpstr>Pareceres</vt:lpstr>
    </vt:vector>
  </TitlesOfParts>
  <Company>EQUATORIAL ENERGIA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ELORA CELESTE NASCIMENTO ABREU</dc:creator>
  <cp:lastModifiedBy>ELORA CELESTE NASCIMENTO ABREU</cp:lastModifiedBy>
  <dcterms:created xsi:type="dcterms:W3CDTF">2026-10-21T20:26:44Z</dcterms:created>
  <dcterms:modified xsi:type="dcterms:W3CDTF">2026-10-21T20:26:46Z</dcterms:modified>
</cp:coreProperties>
</file>